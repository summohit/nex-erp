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Status" sheetId="1" state="visible" r:id="rId1"/>
    <sheet name="Summary" sheetId="2" state="visible" r:id="rId2"/>
    <sheet name="How To Use" sheetId="3" state="visible" r:id="rId3"/>
  </sheets>
  <definedNames>
    <definedName name="_xlnm._FilterDatabase" localSheetId="0" hidden="1">'Module Status'!$A$5:$L$25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;-;-"/>
    <numFmt numFmtId="165" formatCode="DD-MMM-YYYY"/>
    <numFmt numFmtId="166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i val="1"/>
      <color rgb="0064748B"/>
      <sz val="9"/>
    </font>
    <font>
      <name val="Arial"/>
      <i val="1"/>
      <color rgb="00B4530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66534"/>
      <sz val="9"/>
    </font>
    <font>
      <name val="Arial"/>
      <b val="1"/>
      <color rgb="0092400E"/>
      <sz val="9"/>
    </font>
    <font>
      <name val="Arial"/>
      <b val="1"/>
      <color rgb="001E293B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E293B"/>
      <sz val="11"/>
    </font>
    <font>
      <name val="Arial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00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2" borderId="1" pivotButton="0" quotePrefix="0" xfId="0"/>
    <xf numFmtId="0" fontId="0" fillId="2" borderId="1" pivotButton="0" quotePrefix="0" xfId="0"/>
    <xf numFmtId="9" fontId="4" fillId="2" borderId="1" applyAlignment="1" pivotButton="0" quotePrefix="0" xfId="0">
      <alignment horizontal="center"/>
    </xf>
    <xf numFmtId="1" fontId="4" fillId="2" borderId="1" applyAlignment="1" pivotButton="0" quotePrefix="0" xfId="0">
      <alignment horizontal="center"/>
    </xf>
    <xf numFmtId="0" fontId="9" fillId="0" borderId="0" pivotButton="0" quotePrefix="0" xfId="0"/>
    <xf numFmtId="0" fontId="4" fillId="2" borderId="1" applyAlignment="1" pivotButton="0" quotePrefix="0" xfId="0">
      <alignment horizontal="center" wrapText="1"/>
    </xf>
    <xf numFmtId="0" fontId="10" fillId="4" borderId="1" pivotButton="0" quotePrefix="0" xfId="0"/>
    <xf numFmtId="0" fontId="11" fillId="0" borderId="1" applyAlignment="1" pivotButton="0" quotePrefix="0" xfId="0">
      <alignment horizontal="center"/>
    </xf>
    <xf numFmtId="0" fontId="10" fillId="6" borderId="1" pivotButton="0" quotePrefix="0" xfId="0"/>
    <xf numFmtId="0" fontId="10" fillId="7" borderId="1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10" fillId="0" borderId="1" pivotButton="0" quotePrefix="0" xfId="0"/>
    <xf numFmtId="9" fontId="10" fillId="0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166" fontId="10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5" borderId="0" pivotButton="0" quotePrefix="0" xfId="0"/>
    <xf numFmtId="0" fontId="11" fillId="5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NEX ERP</author>
  </authors>
  <commentList>
    <comment ref="D27" authorId="0" shapeId="0">
      <text>
        <t>Simple average of the per-module estimates, not weighted by module size.</t>
      </text>
    </comment>
  </commentList>
</comments>
</file>

<file path=xl/comments/comment2.xml><?xml version="1.0" encoding="utf-8"?>
<comments xmlns="http://schemas.openxmlformats.org/spreadsheetml/2006/main">
  <authors>
    <author>NEX ERP</author>
  </authors>
  <commentList>
    <comment ref="B10" authorId="0" shapeId="0">
      <text>
        <t>Blue = your input. Change this to re-forecast the weeks below.
You told me 2-3 developers, so 2.5 is used as the midpoint.</t>
      </text>
    </comment>
    <comment ref="B11" authorId="0" shapeId="0">
      <text>
        <t>Remaining dev-days / developers / 5 working days.
Assumes fully parallel work with no dependencies, holidays or BAU support - treat it as a floor, not a plan.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5" customWidth="1" min="4" max="4"/>
    <col width="62" customWidth="1" min="5" max="5"/>
    <col width="62" customWidth="1" min="6" max="6"/>
    <col width="12" customWidth="1" min="7" max="7"/>
    <col width="13" customWidth="1" min="8" max="8"/>
    <col width="10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NEX ERP - Module Delivery Status</t>
        </is>
      </c>
    </row>
    <row r="2">
      <c r="A2" s="2" t="inlineStr">
        <is>
          <t>Status as at 1 September 2026. Assessed from the codebase: route map, backend endpoint counts, and placeholder screens.</t>
        </is>
      </c>
    </row>
    <row r="3">
      <c r="A3" s="3" t="inlineStr">
        <is>
          <t>Yellow cells are for you to fill in. '% Complete' and 'Effort' are estimates - adjust to match your own planning.</t>
        </is>
      </c>
    </row>
    <row r="5" ht="34" customHeight="1">
      <c r="A5" s="4" t="inlineStr">
        <is>
          <t>Module</t>
        </is>
      </c>
      <c r="B5" s="4" t="inlineStr">
        <is>
          <t>Area</t>
        </is>
      </c>
      <c r="C5" s="4" t="inlineStr">
        <is>
          <t>Status</t>
        </is>
      </c>
      <c r="D5" s="4" t="inlineStr">
        <is>
          <t>Est. % Complete</t>
        </is>
      </c>
      <c r="E5" s="4" t="inlineStr">
        <is>
          <t>What Is Delivered</t>
        </is>
      </c>
      <c r="F5" s="4" t="inlineStr">
        <is>
          <t>Remaining Gaps / Work</t>
        </is>
      </c>
      <c r="G5" s="4" t="inlineStr">
        <is>
          <t>Backend Endpoints</t>
        </is>
      </c>
      <c r="H5" s="4" t="inlineStr">
        <is>
          <t>Est. Effort (dev-days)</t>
        </is>
      </c>
      <c r="I5" s="4" t="inlineStr">
        <is>
          <t>Priority</t>
        </is>
      </c>
      <c r="J5" s="4" t="inlineStr">
        <is>
          <t>Owner</t>
        </is>
      </c>
      <c r="K5" s="4" t="inlineStr">
        <is>
          <t>Target Start</t>
        </is>
      </c>
      <c r="L5" s="4" t="inlineStr">
        <is>
          <t>Target Finish</t>
        </is>
      </c>
    </row>
    <row r="6" ht="46" customHeight="1">
      <c r="A6" s="5" t="inlineStr">
        <is>
          <t>Dashboard</t>
        </is>
      </c>
      <c r="B6" s="6" t="inlineStr">
        <is>
          <t>Core</t>
        </is>
      </c>
      <c r="C6" s="7" t="inlineStr">
        <is>
          <t>Done</t>
        </is>
      </c>
      <c r="D6" s="8" t="n">
        <v>1</v>
      </c>
      <c r="E6" s="9" t="inlineStr">
        <is>
          <t>KPI cards, leads pipeline chart, quotations by status, attendance summary, recent orders, daily time tracker</t>
        </is>
      </c>
      <c r="F6" s="9" t="inlineStr">
        <is>
          <t>No date-range filter or export on analytics</t>
        </is>
      </c>
      <c r="G6" s="10" t="n">
        <v>1</v>
      </c>
      <c r="H6" s="10" t="n">
        <v>0</v>
      </c>
      <c r="I6" s="11" t="inlineStr">
        <is>
          <t>Low</t>
        </is>
      </c>
      <c r="J6" s="12" t="n"/>
      <c r="K6" s="13" t="n"/>
      <c r="L6" s="13" t="n"/>
    </row>
    <row r="7" ht="46" customHeight="1">
      <c r="A7" s="14" t="inlineStr">
        <is>
          <t>Employees / People Hub</t>
        </is>
      </c>
      <c r="B7" s="15" t="inlineStr">
        <is>
          <t>HRMS</t>
        </is>
      </c>
      <c r="C7" s="7" t="inlineStr">
        <is>
          <t>Done</t>
        </is>
      </c>
      <c r="D7" s="16" t="n">
        <v>1</v>
      </c>
      <c r="E7" s="17" t="inlineStr">
        <is>
          <t>Directory, 360 profiles, org chart, document vault, onboarding list, profile tabs</t>
        </is>
      </c>
      <c r="F7" s="17" t="inlineStr">
        <is>
          <t>None outstanding</t>
        </is>
      </c>
      <c r="G7" s="18" t="n">
        <v>23</v>
      </c>
      <c r="H7" s="18" t="n">
        <v>0</v>
      </c>
      <c r="I7" s="19" t="inlineStr">
        <is>
          <t>Low</t>
        </is>
      </c>
      <c r="J7" s="12" t="n"/>
      <c r="K7" s="13" t="n"/>
      <c r="L7" s="13" t="n"/>
    </row>
    <row r="8" ht="46" customHeight="1">
      <c r="A8" s="5" t="inlineStr">
        <is>
          <t>Recruitment &amp; ATS</t>
        </is>
      </c>
      <c r="B8" s="6" t="inlineStr">
        <is>
          <t>HRMS</t>
        </is>
      </c>
      <c r="C8" s="7" t="inlineStr">
        <is>
          <t>Done</t>
        </is>
      </c>
      <c r="D8" s="8" t="n">
        <v>1</v>
      </c>
      <c r="E8" s="9" t="inlineStr">
        <is>
          <t>Job postings, candidate pipeline, interviews, reports, public careers portal, offer letters (DOCX + HTML templates)</t>
        </is>
      </c>
      <c r="F8" s="9" t="inlineStr">
        <is>
          <t>None outstanding</t>
        </is>
      </c>
      <c r="G8" s="10" t="n">
        <v>22</v>
      </c>
      <c r="H8" s="10" t="n">
        <v>0</v>
      </c>
      <c r="I8" s="11" t="inlineStr">
        <is>
          <t>Low</t>
        </is>
      </c>
      <c r="J8" s="12" t="n"/>
      <c r="K8" s="13" t="n"/>
      <c r="L8" s="13" t="n"/>
    </row>
    <row r="9" ht="46" customHeight="1">
      <c r="A9" s="14" t="inlineStr">
        <is>
          <t>Attendance &amp; Leave</t>
        </is>
      </c>
      <c r="B9" s="15" t="inlineStr">
        <is>
          <t>HRMS</t>
        </is>
      </c>
      <c r="C9" s="7" t="inlineStr">
        <is>
          <t>Done</t>
        </is>
      </c>
      <c r="D9" s="16" t="n">
        <v>1</v>
      </c>
      <c r="E9" s="17" t="inlineStr">
        <is>
          <t>Clock in/out with geofence, all-attendance grid, leave requests &amp; approvals, shift roster visibility, overtime tracking</t>
        </is>
      </c>
      <c r="F9" s="17" t="inlineStr">
        <is>
          <t>None outstanding</t>
        </is>
      </c>
      <c r="G9" s="18" t="n">
        <v>26</v>
      </c>
      <c r="H9" s="18" t="n">
        <v>0</v>
      </c>
      <c r="I9" s="19" t="inlineStr">
        <is>
          <t>Low</t>
        </is>
      </c>
      <c r="J9" s="12" t="n"/>
      <c r="K9" s="13" t="n"/>
      <c r="L9" s="13" t="n"/>
    </row>
    <row r="10" ht="46" customHeight="1">
      <c r="A10" s="5" t="inlineStr">
        <is>
          <t>Performance &amp; Reviews</t>
        </is>
      </c>
      <c r="B10" s="6" t="inlineStr">
        <is>
          <t>HRMS</t>
        </is>
      </c>
      <c r="C10" s="7" t="inlineStr">
        <is>
          <t>Done</t>
        </is>
      </c>
      <c r="D10" s="8" t="n">
        <v>1</v>
      </c>
      <c r="E10" s="9" t="inlineStr">
        <is>
          <t>Review cycles, KPI goals, ratings, appraisal records</t>
        </is>
      </c>
      <c r="F10" s="9" t="inlineStr">
        <is>
          <t>None outstanding</t>
        </is>
      </c>
      <c r="G10" s="10" t="n">
        <v>24</v>
      </c>
      <c r="H10" s="10" t="n">
        <v>0</v>
      </c>
      <c r="I10" s="11" t="inlineStr">
        <is>
          <t>Low</t>
        </is>
      </c>
      <c r="J10" s="12" t="n"/>
      <c r="K10" s="13" t="n"/>
      <c r="L10" s="13" t="n"/>
    </row>
    <row r="11" ht="46" customHeight="1">
      <c r="A11" s="14" t="inlineStr">
        <is>
          <t>Projects &amp; Issue Tracking</t>
        </is>
      </c>
      <c r="B11" s="15" t="inlineStr">
        <is>
          <t>Delivery</t>
        </is>
      </c>
      <c r="C11" s="7" t="inlineStr">
        <is>
          <t>Done</t>
        </is>
      </c>
      <c r="D11" s="16" t="n">
        <v>1</v>
      </c>
      <c r="E11" s="17" t="inlineStr">
        <is>
          <t>Project boards, issues, sprints, milestones, project onboarding, sequential issue IDs, client association</t>
        </is>
      </c>
      <c r="F11" s="17" t="inlineStr">
        <is>
          <t>None outstanding</t>
        </is>
      </c>
      <c r="G11" s="18" t="n">
        <v>56</v>
      </c>
      <c r="H11" s="18" t="n">
        <v>0</v>
      </c>
      <c r="I11" s="19" t="inlineStr">
        <is>
          <t>Low</t>
        </is>
      </c>
      <c r="J11" s="12" t="n"/>
      <c r="K11" s="13" t="n"/>
      <c r="L11" s="13" t="n"/>
    </row>
    <row r="12" ht="46" customHeight="1">
      <c r="A12" s="5" t="inlineStr">
        <is>
          <t>CRM - Leads &amp; Pipeline</t>
        </is>
      </c>
      <c r="B12" s="6" t="inlineStr">
        <is>
          <t>Revenue</t>
        </is>
      </c>
      <c r="C12" s="7" t="inlineStr">
        <is>
          <t>Done</t>
        </is>
      </c>
      <c r="D12" s="8" t="n">
        <v>1</v>
      </c>
      <c r="E12" s="9" t="inlineStr">
        <is>
          <t>Kanban leads board, lead dashboard, follow-ups, lead contacts, quotation conversion</t>
        </is>
      </c>
      <c r="F12" s="9" t="inlineStr">
        <is>
          <t>None outstanding</t>
        </is>
      </c>
      <c r="G12" s="10" t="n">
        <v>16</v>
      </c>
      <c r="H12" s="10" t="n">
        <v>0</v>
      </c>
      <c r="I12" s="11" t="inlineStr">
        <is>
          <t>Low</t>
        </is>
      </c>
      <c r="J12" s="12" t="n"/>
      <c r="K12" s="13" t="n"/>
      <c r="L12" s="13" t="n"/>
    </row>
    <row r="13" ht="46" customHeight="1">
      <c r="A13" s="14" t="inlineStr">
        <is>
          <t>Sales (Quotations &amp; Orders)</t>
        </is>
      </c>
      <c r="B13" s="15" t="inlineStr">
        <is>
          <t>Revenue</t>
        </is>
      </c>
      <c r="C13" s="7" t="inlineStr">
        <is>
          <t>Done</t>
        </is>
      </c>
      <c r="D13" s="16" t="n">
        <v>0.95</v>
      </c>
      <c r="E13" s="17" t="inlineStr">
        <is>
          <t>Quotation builder with PDF export, sales orders, follow-ups</t>
        </is>
      </c>
      <c r="F13" s="17" t="inlineStr">
        <is>
          <t>Point of Sale screen is thin - only 6 endpoints across the whole module</t>
        </is>
      </c>
      <c r="G13" s="18" t="n">
        <v>6</v>
      </c>
      <c r="H13" s="18" t="n">
        <v>5</v>
      </c>
      <c r="I13" s="19" t="inlineStr">
        <is>
          <t>Medium</t>
        </is>
      </c>
      <c r="J13" s="12" t="n"/>
      <c r="K13" s="13" t="n"/>
      <c r="L13" s="13" t="n"/>
    </row>
    <row r="14" ht="46" customHeight="1">
      <c r="A14" s="5" t="inlineStr">
        <is>
          <t>Settings &amp; Administration</t>
        </is>
      </c>
      <c r="B14" s="6" t="inlineStr">
        <is>
          <t>Platform</t>
        </is>
      </c>
      <c r="C14" s="7" t="inlineStr">
        <is>
          <t>Done</t>
        </is>
      </c>
      <c r="D14" s="8" t="n">
        <v>1</v>
      </c>
      <c r="E14" s="9" t="inlineStr">
        <is>
          <t>Master data, company profile, role permission matrix, system settings, payroll rules</t>
        </is>
      </c>
      <c r="F14" s="9" t="inlineStr">
        <is>
          <t>None outstanding</t>
        </is>
      </c>
      <c r="G14" s="10" t="n">
        <v>4</v>
      </c>
      <c r="H14" s="10" t="n">
        <v>0</v>
      </c>
      <c r="I14" s="11" t="inlineStr">
        <is>
          <t>Low</t>
        </is>
      </c>
      <c r="J14" s="12" t="n"/>
      <c r="K14" s="13" t="n"/>
      <c r="L14" s="13" t="n"/>
    </row>
    <row r="15" ht="46" customHeight="1">
      <c r="A15" s="14" t="inlineStr">
        <is>
          <t>Helpdesk / Tickets</t>
        </is>
      </c>
      <c r="B15" s="15" t="inlineStr">
        <is>
          <t>Platform</t>
        </is>
      </c>
      <c r="C15" s="7" t="inlineStr">
        <is>
          <t>Done</t>
        </is>
      </c>
      <c r="D15" s="16" t="n">
        <v>1</v>
      </c>
      <c r="E15" s="17" t="inlineStr">
        <is>
          <t>Ticket CRUD, threaded comments, activity log, multi-image upload to ImageKit, Quill rich-text editor, role-scoped visibility, auto-assign to dev PM, same-department reassignment, reporter close-off, header alert badge</t>
        </is>
      </c>
      <c r="F15" s="17" t="inlineStr">
        <is>
          <t>Email / push notification on new ticket not yet wired. Default ticket assignee must be set in System Settings.</t>
        </is>
      </c>
      <c r="G15" s="18" t="n">
        <v>11</v>
      </c>
      <c r="H15" s="18" t="n">
        <v>3</v>
      </c>
      <c r="I15" s="19" t="inlineStr">
        <is>
          <t>Medium</t>
        </is>
      </c>
      <c r="J15" s="12" t="n"/>
      <c r="K15" s="13" t="n"/>
      <c r="L15" s="13" t="n"/>
    </row>
    <row r="16" ht="46" customHeight="1">
      <c r="A16" s="5" t="inlineStr">
        <is>
          <t>Payroll &amp; Expenses</t>
        </is>
      </c>
      <c r="B16" s="6" t="inlineStr">
        <is>
          <t>Finance</t>
        </is>
      </c>
      <c r="C16" s="20" t="inlineStr">
        <is>
          <t>Partial</t>
        </is>
      </c>
      <c r="D16" s="8" t="n">
        <v>0.6</v>
      </c>
      <c r="E16" s="9" t="inlineStr">
        <is>
          <t>Backend complete: salary structures, payslip generation, LOP attendance sync, PF/ESI/TDS engine, expense claims</t>
        </is>
      </c>
      <c r="F16" s="9" t="inlineStr">
        <is>
          <t>Web UI is a single placeholder screen. Payslip viewer, bulk payslip emailer and expense approval flow not built.</t>
        </is>
      </c>
      <c r="G16" s="10" t="n">
        <v>21</v>
      </c>
      <c r="H16" s="10" t="n">
        <v>25</v>
      </c>
      <c r="I16" s="11" t="inlineStr">
        <is>
          <t>High</t>
        </is>
      </c>
      <c r="J16" s="12" t="n"/>
      <c r="K16" s="13" t="n"/>
      <c r="L16" s="13" t="n"/>
    </row>
    <row r="17" ht="46" customHeight="1">
      <c r="A17" s="14" t="inlineStr">
        <is>
          <t>Assets &amp; IT Inventory</t>
        </is>
      </c>
      <c r="B17" s="15" t="inlineStr">
        <is>
          <t>Operations</t>
        </is>
      </c>
      <c r="C17" s="20" t="inlineStr">
        <is>
          <t>Partial</t>
        </is>
      </c>
      <c r="D17" s="16" t="n">
        <v>0.55</v>
      </c>
      <c r="E17" s="17" t="inlineStr">
        <is>
          <t>Backend complete: inventory, assignments, hardware requests, maintenance logs. Mobile Assets screens exist.</t>
        </is>
      </c>
      <c r="F17" s="17" t="inlineStr">
        <is>
          <t>Web UI placeholder. Inventory grid, custody tracking, warranty and depreciation views pending.</t>
        </is>
      </c>
      <c r="G17" s="18" t="n">
        <v>26</v>
      </c>
      <c r="H17" s="18" t="n">
        <v>20</v>
      </c>
      <c r="I17" s="19" t="inlineStr">
        <is>
          <t>High</t>
        </is>
      </c>
      <c r="J17" s="12" t="n"/>
      <c r="K17" s="13" t="n"/>
      <c r="L17" s="13" t="n"/>
    </row>
    <row r="18" ht="46" customHeight="1">
      <c r="A18" s="5" t="inlineStr">
        <is>
          <t>Clients</t>
        </is>
      </c>
      <c r="B18" s="6" t="inlineStr">
        <is>
          <t>Revenue</t>
        </is>
      </c>
      <c r="C18" s="20" t="inlineStr">
        <is>
          <t>Partial</t>
        </is>
      </c>
      <c r="D18" s="8" t="n">
        <v>0.5</v>
      </c>
      <c r="E18" s="9" t="inlineStr">
        <is>
          <t>Client list and profile scaffolding, project/billing association</t>
        </is>
      </c>
      <c r="F18" s="9" t="inlineStr">
        <is>
          <t>Placeholder content in both list and profile. Billing and invoice linkage incomplete.</t>
        </is>
      </c>
      <c r="G18" s="10" t="n">
        <v>10</v>
      </c>
      <c r="H18" s="10" t="n">
        <v>12</v>
      </c>
      <c r="I18" s="11" t="inlineStr">
        <is>
          <t>Medium</t>
        </is>
      </c>
      <c r="J18" s="12" t="n"/>
      <c r="K18" s="13" t="n"/>
      <c r="L18" s="13" t="n"/>
    </row>
    <row r="19" ht="46" customHeight="1">
      <c r="A19" s="14" t="inlineStr">
        <is>
          <t>Offboarding</t>
        </is>
      </c>
      <c r="B19" s="15" t="inlineStr">
        <is>
          <t>HRMS</t>
        </is>
      </c>
      <c r="C19" s="20" t="inlineStr">
        <is>
          <t>Partial</t>
        </is>
      </c>
      <c r="D19" s="16" t="n">
        <v>0.45</v>
      </c>
      <c r="E19" s="17" t="inlineStr">
        <is>
          <t>Exit initiation and exit interview backend</t>
        </is>
      </c>
      <c r="F19" s="17" t="inlineStr">
        <is>
          <t>UI placeholder. Clearance checklist, full &amp; final settlement and asset-return handoff pending.</t>
        </is>
      </c>
      <c r="G19" s="18" t="n">
        <v>7</v>
      </c>
      <c r="H19" s="18" t="n">
        <v>12</v>
      </c>
      <c r="I19" s="19" t="inlineStr">
        <is>
          <t>Medium</t>
        </is>
      </c>
      <c r="J19" s="12" t="n"/>
      <c r="K19" s="13" t="n"/>
      <c r="L19" s="13" t="n"/>
    </row>
    <row r="20" ht="46" customHeight="1">
      <c r="A20" s="5" t="inlineStr">
        <is>
          <t>Appreciation &amp; Culture</t>
        </is>
      </c>
      <c r="B20" s="6" t="inlineStr">
        <is>
          <t>HRMS</t>
        </is>
      </c>
      <c r="C20" s="20" t="inlineStr">
        <is>
          <t>Partial</t>
        </is>
      </c>
      <c r="D20" s="8" t="n">
        <v>0.4</v>
      </c>
      <c r="E20" s="9" t="inlineStr">
        <is>
          <t>Kudos feed and awards backend</t>
        </is>
      </c>
      <c r="F20" s="9" t="inlineStr">
        <is>
          <t>UI placeholder. Badges, award types (Star/Trophy/Ribbon) and leaderboard pending.</t>
        </is>
      </c>
      <c r="G20" s="10" t="n">
        <v>7</v>
      </c>
      <c r="H20" s="10" t="n">
        <v>8</v>
      </c>
      <c r="I20" s="11" t="inlineStr">
        <is>
          <t>Low</t>
        </is>
      </c>
      <c r="J20" s="12" t="n"/>
      <c r="K20" s="13" t="n"/>
      <c r="L20" s="13" t="n"/>
    </row>
    <row r="21" ht="46" customHeight="1">
      <c r="A21" s="14" t="inlineStr">
        <is>
          <t>Timesheets</t>
        </is>
      </c>
      <c r="B21" s="15" t="inlineStr">
        <is>
          <t>Delivery</t>
        </is>
      </c>
      <c r="C21" s="20" t="inlineStr">
        <is>
          <t>Partial</t>
        </is>
      </c>
      <c r="D21" s="16" t="n">
        <v>0.5</v>
      </c>
      <c r="E21" s="17" t="inlineStr">
        <is>
          <t>Timesheet entry screen present</t>
        </is>
      </c>
      <c r="F21" s="17" t="inlineStr">
        <is>
          <t>No dedicated backend module - relies on Projects. Approval workflow and workload balancing pending.</t>
        </is>
      </c>
      <c r="G21" s="18" t="n">
        <v>0</v>
      </c>
      <c r="H21" s="18" t="n">
        <v>8</v>
      </c>
      <c r="I21" s="19" t="inlineStr">
        <is>
          <t>Medium</t>
        </is>
      </c>
      <c r="J21" s="12" t="n"/>
      <c r="K21" s="13" t="n"/>
      <c r="L21" s="13" t="n"/>
    </row>
    <row r="22" ht="46" customHeight="1">
      <c r="A22" s="5" t="inlineStr">
        <is>
          <t>Employee Onboarding</t>
        </is>
      </c>
      <c r="B22" s="6" t="inlineStr">
        <is>
          <t>HRMS</t>
        </is>
      </c>
      <c r="C22" s="20" t="inlineStr">
        <is>
          <t>Partial</t>
        </is>
      </c>
      <c r="D22" s="8" t="n">
        <v>0.7</v>
      </c>
      <c r="E22" s="9" t="inlineStr">
        <is>
          <t>Digital onboarding flow and employee self-service steps</t>
        </is>
      </c>
      <c r="F22" s="9" t="inlineStr">
        <is>
          <t>Document collection and e-signature steps incomplete.</t>
        </is>
      </c>
      <c r="G22" s="10" t="n">
        <v>8</v>
      </c>
      <c r="H22" s="10" t="n">
        <v>6</v>
      </c>
      <c r="I22" s="11" t="inlineStr">
        <is>
          <t>Medium</t>
        </is>
      </c>
      <c r="J22" s="12" t="n"/>
      <c r="K22" s="13" t="n"/>
      <c r="L22" s="13" t="n"/>
    </row>
    <row r="23" ht="46" customHeight="1">
      <c r="A23" s="14" t="inlineStr">
        <is>
          <t>Kiosk (Biometric Punch)</t>
        </is>
      </c>
      <c r="B23" s="15" t="inlineStr">
        <is>
          <t>Attendance</t>
        </is>
      </c>
      <c r="C23" s="20" t="inlineStr">
        <is>
          <t>Partial</t>
        </is>
      </c>
      <c r="D23" s="16" t="n">
        <v>0.6</v>
      </c>
      <c r="E23" s="17" t="inlineStr">
        <is>
          <t>Kiosk punch screen with company-scoped route</t>
        </is>
      </c>
      <c r="F23" s="17" t="inlineStr">
        <is>
          <t>Selfie capture and device pairing hardening pending.</t>
        </is>
      </c>
      <c r="G23" s="18" t="n">
        <v>2</v>
      </c>
      <c r="H23" s="18" t="n">
        <v>5</v>
      </c>
      <c r="I23" s="19" t="inlineStr">
        <is>
          <t>Medium</t>
        </is>
      </c>
      <c r="J23" s="12" t="n"/>
      <c r="K23" s="13" t="n"/>
      <c r="L23" s="13" t="n"/>
    </row>
    <row r="24" ht="46" customHeight="1">
      <c r="A24" s="5" t="inlineStr">
        <is>
          <t>Mobile App (Android)</t>
        </is>
      </c>
      <c r="B24" s="6" t="inlineStr">
        <is>
          <t>Mobile</t>
        </is>
      </c>
      <c r="C24" s="20" t="inlineStr">
        <is>
          <t>Partial</t>
        </is>
      </c>
      <c r="D24" s="8" t="n">
        <v>0.65</v>
      </c>
      <c r="E24" s="9" t="inlineStr">
        <is>
          <t>Auth, Dashboard, ESS, Payslips, CRM, Projects, Field Visits, Assets, Notifications, Onboarding screens</t>
        </is>
      </c>
      <c r="F24" s="9" t="inlineStr">
        <is>
          <t>Release signing config, offline sync, biometric lock and push notifications outstanding.</t>
        </is>
      </c>
      <c r="G24" s="10" t="n">
        <v>0</v>
      </c>
      <c r="H24" s="10" t="n">
        <v>20</v>
      </c>
      <c r="I24" s="11" t="inlineStr">
        <is>
          <t>High</t>
        </is>
      </c>
      <c r="J24" s="12" t="n"/>
      <c r="K24" s="13" t="n"/>
      <c r="L24" s="13" t="n"/>
    </row>
    <row r="25" ht="46" customHeight="1">
      <c r="A25" s="14" t="inlineStr">
        <is>
          <t>Public Site &amp; Careers Portal</t>
        </is>
      </c>
      <c r="B25" s="15" t="inlineStr">
        <is>
          <t>Marketing</t>
        </is>
      </c>
      <c r="C25" s="7" t="inlineStr">
        <is>
          <t>Done</t>
        </is>
      </c>
      <c r="D25" s="16" t="n">
        <v>1</v>
      </c>
      <c r="E25" s="17" t="inlineStr">
        <is>
          <t>Landing page, public careers portal, APK download endpoint</t>
        </is>
      </c>
      <c r="F25" s="17" t="inlineStr">
        <is>
          <t>None outstanding</t>
        </is>
      </c>
      <c r="G25" s="18" t="n">
        <v>0</v>
      </c>
      <c r="H25" s="18" t="n">
        <v>0</v>
      </c>
      <c r="I25" s="19" t="inlineStr">
        <is>
          <t>Low</t>
        </is>
      </c>
      <c r="J25" s="12" t="n"/>
      <c r="K25" s="13" t="n"/>
      <c r="L25" s="13" t="n"/>
    </row>
    <row r="27">
      <c r="A27" s="21" t="inlineStr">
        <is>
          <t>TOTAL / AVERAGE</t>
        </is>
      </c>
      <c r="B27" s="22" t="n"/>
      <c r="C27" s="22" t="n"/>
      <c r="D27" s="23">
        <f>AVERAGE(D6:D25)</f>
        <v/>
      </c>
      <c r="E27" s="22" t="n"/>
      <c r="F27" s="22" t="n"/>
      <c r="G27" s="24">
        <f>SUM(G6:G25)</f>
        <v/>
      </c>
      <c r="H27" s="24">
        <f>SUM(H6:H25)</f>
        <v/>
      </c>
      <c r="I27" s="22" t="n"/>
      <c r="J27" s="22" t="n"/>
      <c r="K27" s="22" t="n"/>
      <c r="L27" s="22" t="n"/>
    </row>
  </sheetData>
  <autoFilter ref="A5:L25"/>
  <dataValidations count="2">
    <dataValidation sqref="C6:C25" showDropDown="0" showInputMessage="0" showErrorMessage="0" allowBlank="1" type="list">
      <formula1>"Done,Partial,Not Started"</formula1>
    </dataValidation>
    <dataValidation sqref="I6:I25" showDropDown="0" showInputMessage="0" showErrorMessage="0" allowBlank="1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</cols>
  <sheetData>
    <row r="1">
      <c r="A1" s="25" t="inlineStr">
        <is>
          <t>Delivery Summary</t>
        </is>
      </c>
    </row>
    <row r="3">
      <c r="A3" s="26" t="inlineStr">
        <is>
          <t>Status</t>
        </is>
      </c>
      <c r="B3" s="26" t="inlineStr">
        <is>
          <t>Modules</t>
        </is>
      </c>
      <c r="C3" s="26" t="inlineStr">
        <is>
          <t>Effort Remaining (dev-days)</t>
        </is>
      </c>
    </row>
    <row r="4">
      <c r="A4" s="27" t="inlineStr">
        <is>
          <t>Done</t>
        </is>
      </c>
      <c r="B4" s="28">
        <f>COUNTIF('Module Status'!$C$6:$C$25,A4)</f>
        <v/>
      </c>
      <c r="C4" s="28">
        <f>SUMIF('Module Status'!$C$6:$C$25,A4,'Module Status'!$H$6:$H$25)</f>
        <v/>
      </c>
    </row>
    <row r="5">
      <c r="A5" s="29" t="inlineStr">
        <is>
          <t>Partial</t>
        </is>
      </c>
      <c r="B5" s="28">
        <f>COUNTIF('Module Status'!$C$6:$C$25,A5)</f>
        <v/>
      </c>
      <c r="C5" s="28">
        <f>SUMIF('Module Status'!$C$6:$C$25,A5,'Module Status'!$H$6:$H$25)</f>
        <v/>
      </c>
    </row>
    <row r="6">
      <c r="A6" s="30" t="inlineStr">
        <is>
          <t>Not Started</t>
        </is>
      </c>
      <c r="B6" s="28">
        <f>COUNTIF('Module Status'!$C$6:$C$25,A6)</f>
        <v/>
      </c>
      <c r="C6" s="28">
        <f>SUMIF('Module Status'!$C$6:$C$25,A6,'Module Status'!$H$6:$H$25)</f>
        <v/>
      </c>
    </row>
    <row r="7">
      <c r="A7" s="31" t="inlineStr">
        <is>
          <t>TOTAL</t>
        </is>
      </c>
      <c r="B7" s="32">
        <f>SUM(B4:B6)</f>
        <v/>
      </c>
      <c r="C7" s="32">
        <f>SUM(C4:C6)</f>
        <v/>
      </c>
    </row>
    <row r="9">
      <c r="A9" s="33" t="inlineStr">
        <is>
          <t>Overall completion (avg)</t>
        </is>
      </c>
      <c r="B9" s="34">
        <f>AVERAGE('Module Status'!$D$6:$D$25)</f>
        <v/>
      </c>
    </row>
    <row r="10">
      <c r="A10" s="33" t="inlineStr">
        <is>
          <t>Team size (developers)</t>
        </is>
      </c>
      <c r="B10" s="35" t="n">
        <v>2.5</v>
      </c>
    </row>
    <row r="11">
      <c r="A11" s="33" t="inlineStr">
        <is>
          <t>Est. calendar weeks remaining</t>
        </is>
      </c>
      <c r="B11" s="36">
        <f>IF(B10=0,"-",ROUND(C7/B10/5,1))</f>
        <v/>
      </c>
    </row>
    <row r="13">
      <c r="A13" s="2" t="inlineStr">
        <is>
          <t>Assumption: '% Complete' and 'Effort' are my estimates from reading the codebase, not measured velocity.</t>
        </is>
      </c>
    </row>
    <row r="14">
      <c r="A14" s="2" t="inlineStr">
        <is>
          <t>Source: NEX ERP repository, branch 'main', assessed 1 September 2026.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25" t="inlineStr">
        <is>
          <t>How to use this tracker</t>
        </is>
      </c>
    </row>
    <row r="3" ht="30" customHeight="1">
      <c r="A3" s="37" t="inlineStr">
        <is>
          <t>Cells you fill in</t>
        </is>
      </c>
      <c r="B3" s="38" t="inlineStr">
        <is>
          <t>Every yellow cell: Owner, Target Start, Target Finish (Module Status tab) and Team size (Summary tab).</t>
        </is>
      </c>
    </row>
    <row r="4" ht="30" customHeight="1">
      <c r="A4" s="37" t="inlineStr">
        <is>
          <t>Cells you should not overwrite</t>
        </is>
      </c>
      <c r="B4" s="38" t="inlineStr">
        <is>
          <t>The TOTAL row and everything on Summary - they are live formulas that recalculate.</t>
        </is>
      </c>
    </row>
    <row r="5" ht="30" customHeight="1">
      <c r="A5" s="37" t="inlineStr">
        <is>
          <t>Status</t>
        </is>
      </c>
      <c r="B5" s="38" t="inlineStr">
        <is>
          <t>Pick from the dropdown: Done / Partial / Not Started. Summary counts update automatically.</t>
        </is>
      </c>
    </row>
    <row r="6" ht="30" customHeight="1">
      <c r="A6" s="37" t="inlineStr">
        <is>
          <t>Est. % Complete</t>
        </is>
      </c>
      <c r="B6" s="38" t="inlineStr">
        <is>
          <t>My estimate of how much of the module is built. Overwrite freely.</t>
        </is>
      </c>
    </row>
    <row r="7" ht="30" customHeight="1">
      <c r="A7" s="37" t="inlineStr">
        <is>
          <t>Backend Endpoints</t>
        </is>
      </c>
      <c r="B7" s="38" t="inlineStr">
        <is>
          <t>Actual count of @Get/@Post/@Patch/@Put/@Delete handlers in that backend module. Measured, not estimated.</t>
        </is>
      </c>
    </row>
    <row r="8" ht="30" customHeight="1">
      <c r="A8" s="37" t="inlineStr">
        <is>
          <t>Est. Effort (dev-days)</t>
        </is>
      </c>
      <c r="B8" s="38" t="inlineStr">
        <is>
          <t>My estimate of the work left. One dev-day = one developer for one working day.</t>
        </is>
      </c>
    </row>
    <row r="9" ht="30" customHeight="1">
      <c r="A9" s="37" t="inlineStr">
        <is>
          <t>Date format</t>
        </is>
      </c>
      <c r="B9" s="38" t="inlineStr">
        <is>
          <t>Type dates as DD-MMM-YYYY, for example 15-Oct-2026.</t>
        </is>
      </c>
    </row>
    <row r="10" ht="30" customHeight="1">
      <c r="A10" s="37" t="inlineStr"/>
      <c r="B10" s="38" t="inlineStr"/>
    </row>
    <row r="11" ht="30" customHeight="1">
      <c r="A11" s="39" t="inlineStr">
        <is>
          <t>Example row</t>
        </is>
      </c>
      <c r="B11" s="40" t="inlineStr">
        <is>
          <t>Payroll &amp; Expenses | Partial | 60% | 25 dev-days | High | Owner: Mohit S. | Start: 15-Sep-2026 | Finish: 24-Oct-2026</t>
        </is>
      </c>
    </row>
    <row r="14">
      <c r="A14" s="41" t="inlineStr">
        <is>
          <t>How status was determined</t>
        </is>
      </c>
    </row>
    <row r="15">
      <c r="A15" s="42" t="inlineStr">
        <is>
          <t>1. Frontend route map read from app.routes.ts (50 routes).</t>
        </is>
      </c>
    </row>
    <row r="16">
      <c r="A16" s="42" t="inlineStr">
        <is>
          <t>2. Backend endpoint decorators counted per module directory.</t>
        </is>
      </c>
    </row>
    <row r="17">
      <c r="A17" s="42" t="inlineStr">
        <is>
          <t>3. Modules whose screens still contain 'Coming Soon' / TODO placeholders were marked Partial:</t>
        </is>
      </c>
    </row>
    <row r="18">
      <c r="A18" s="42" t="inlineStr">
        <is>
          <t xml:space="preserve">     assets, appreciation, clients (list + profile), offboarding, payroll.</t>
        </is>
      </c>
    </row>
    <row r="19">
      <c r="A19" s="42" t="inlineStr">
        <is>
          <t>4. The Done/WIP badges the app itself renders in the sidebar were used as a cross-check.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2026-09-01T09:02:01Z</dcterms:created>
  <dcterms:modified xsi:type="dcterms:W3CDTF">2026-09-01T09:02:01Z</dcterms:modified>
</cp:coreProperties>
</file>